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<sst xmlns="http://schemas.openxmlformats.org/spreadsheetml/2006/main" count="237" uniqueCount="99">
  <si>
    <t>Timestamp</t>
  </si>
  <si>
    <t>Enter your ProbID</t>
  </si>
  <si>
    <t>What is your current age?</t>
  </si>
  <si>
    <t>What is your gender identity?</t>
  </si>
  <si>
    <t>What is the highest level of education you have completed?</t>
  </si>
  <si>
    <t>What do you study and/or work?</t>
  </si>
  <si>
    <t>How often do you engage in creative activities?</t>
  </si>
  <si>
    <t xml:space="preserve">How do you like to express your creativity?(e.g. drawing, crafting, photography...) </t>
  </si>
  <si>
    <t>Do you have any experience in filmmaking?</t>
  </si>
  <si>
    <t>Do you know what a storyboard is?</t>
  </si>
  <si>
    <t>Have you made a storyboard before?</t>
  </si>
  <si>
    <t>How frequently do you use AI [For research]</t>
  </si>
  <si>
    <t>How frequently do you use AI [For completing tasks]</t>
  </si>
  <si>
    <t>How frequently do you use AI [For creative hobbies]</t>
  </si>
  <si>
    <t>If you use AI for creative hobbies, what do you use it for?</t>
  </si>
  <si>
    <t>generative AI helps me get things done faster</t>
  </si>
  <si>
    <t>Generative AI applications are easy to use.</t>
  </si>
  <si>
    <t>AI assists my creativity</t>
  </si>
  <si>
    <t>AI kills creativity</t>
  </si>
  <si>
    <t>I am interested in using artificially intelligent systems in my daily life.</t>
  </si>
  <si>
    <t>I find Artificial Intelligence sinister.</t>
  </si>
  <si>
    <t>Artificial Intelligence might take control of people.</t>
  </si>
  <si>
    <t>I think Artificial Intelligence is dangerous.</t>
  </si>
  <si>
    <t>Artificial Intelligence can have positive impacts on people's wellbeing.</t>
  </si>
  <si>
    <t>Artificial Intelligence is exciting.</t>
  </si>
  <si>
    <t>Much of society will benefit from a future full of Artificial Intelligence.</t>
  </si>
  <si>
    <t>I would like to use Artificial Intelligence in my own job.</t>
  </si>
  <si>
    <t>I shiver with discomfort when I think about future uses of Artificial Intelligence.</t>
  </si>
  <si>
    <t>People like me will suffer if Artificial Intelligence is used more and more.</t>
  </si>
  <si>
    <t>d1p1</t>
  </si>
  <si>
    <t>Man</t>
  </si>
  <si>
    <t>Master's Degree</t>
  </si>
  <si>
    <t>Digital Media</t>
  </si>
  <si>
    <t>Every week</t>
  </si>
  <si>
    <t>Film-making, Videography,Cooking, editing</t>
  </si>
  <si>
    <t>creating Social Media content</t>
  </si>
  <si>
    <t>yes</t>
  </si>
  <si>
    <t>Multiple times a day</t>
  </si>
  <si>
    <t>AI Film-making</t>
  </si>
  <si>
    <t>d1p2</t>
  </si>
  <si>
    <t>Woman</t>
  </si>
  <si>
    <t>High School</t>
  </si>
  <si>
    <t>study Digital Media, work in Web &amp; AI field</t>
  </si>
  <si>
    <t>Once every few months</t>
  </si>
  <si>
    <t>photography, drawing</t>
  </si>
  <si>
    <t>in my studies</t>
  </si>
  <si>
    <t>Daily</t>
  </si>
  <si>
    <t>Rarely</t>
  </si>
  <si>
    <t>finding ideas &amp; how to put them into reality</t>
  </si>
  <si>
    <t>d2p1</t>
  </si>
  <si>
    <t>Digital Media, Web Video Editor</t>
  </si>
  <si>
    <t>Every day</t>
  </si>
  <si>
    <t>Social Media Content</t>
  </si>
  <si>
    <t>Weekly</t>
  </si>
  <si>
    <t>Getting Ideas if im stuck</t>
  </si>
  <si>
    <t>d2p2</t>
  </si>
  <si>
    <t>drawing</t>
  </si>
  <si>
    <t>as a hobby</t>
  </si>
  <si>
    <t>Never</t>
  </si>
  <si>
    <t>none</t>
  </si>
  <si>
    <t>d2p3</t>
  </si>
  <si>
    <t>Non-binary</t>
  </si>
  <si>
    <t>Bachelor's Degree</t>
  </si>
  <si>
    <t>Fullstack Developer</t>
  </si>
  <si>
    <t>Improv theater, musical theater, editing, Pen and Papers (like Dungeons and Dragons), singing, acting in musical theater, drawing</t>
  </si>
  <si>
    <t>d3p1</t>
  </si>
  <si>
    <t>d3p2</t>
  </si>
  <si>
    <t>None</t>
  </si>
  <si>
    <t>d3p3</t>
  </si>
  <si>
    <t>drawing, crafting, photo editing</t>
  </si>
  <si>
    <t>d3p4</t>
  </si>
  <si>
    <t>Software Engineering</t>
  </si>
  <si>
    <t>2-3 times a month</t>
  </si>
  <si>
    <t>Drawing, Photography</t>
  </si>
  <si>
    <t>d4p1</t>
  </si>
  <si>
    <t>Digital Media Bachelor</t>
  </si>
  <si>
    <t>Crochet, draw, sewing</t>
  </si>
  <si>
    <t>Story references</t>
  </si>
  <si>
    <t>d4p2</t>
  </si>
  <si>
    <t>I study digital media and work at the cinema.</t>
  </si>
  <si>
    <t>Drawing, painting, knitting, filming, designing, makeup</t>
  </si>
  <si>
    <t>Translating works from other artists, brainsotming/looking for inspiration</t>
  </si>
  <si>
    <t>d5p1</t>
  </si>
  <si>
    <t>drawing, photography, dancing</t>
  </si>
  <si>
    <t>Visualization of Ideas</t>
  </si>
  <si>
    <t>d5p2</t>
  </si>
  <si>
    <t>Student</t>
  </si>
  <si>
    <t>Creative Mind but no Creative Skills</t>
  </si>
  <si>
    <t>d5p3</t>
  </si>
  <si>
    <t>B.A. Politikmanagement</t>
  </si>
  <si>
    <t>Am ehesten Musik</t>
  </si>
  <si>
    <t>no</t>
  </si>
  <si>
    <t>Ich habe nur ein paar mal mit der Erstellung von Bildern rumgespielt, aber die Bilder nicht mal abgespeichert, sondern mir nur ein Bild von den Fähigkeiten der AI gemacht</t>
  </si>
  <si>
    <t>d6p1</t>
  </si>
  <si>
    <t>Ausbildung zur MTR</t>
  </si>
  <si>
    <t>drawing, photography, crafting</t>
  </si>
  <si>
    <t>Einmal für eine Ausarbeitung einer Story von einem Comic</t>
  </si>
  <si>
    <t>admin</t>
  </si>
  <si>
    <t>Less than High School Diploma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</si>
</sst>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orm Responses 1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C17" displayName="Form_Responses" name="Form_Responses" id="1">
  <tableColumns count="29">
    <tableColumn name="Timestamp" id="1"/>
    <tableColumn name="Enter your ProbID" id="2"/>
    <tableColumn name="What is your current age?" id="3"/>
    <tableColumn name="What is your gender identity?" id="4"/>
    <tableColumn name="What is the highest level of education you have completed?" id="5"/>
    <tableColumn name="What do you study and/or work?" id="6"/>
    <tableColumn name="How often do you engage in creative activities?" id="7"/>
    <tableColumn name="How do you like to express your creativity?(e.g. drawing, crafting, photography...) " id="8"/>
    <tableColumn name="Do you have any experience in filmmaking?" id="9"/>
    <tableColumn name="Do you know what a storyboard is?" id="10"/>
    <tableColumn name="Have you made a storyboard before?" id="11"/>
    <tableColumn name="How frequently do you use AI [For research]" id="12"/>
    <tableColumn name="How frequently do you use AI [For completing tasks]" id="13"/>
    <tableColumn name="How frequently do you use AI [For creative hobbies]" id="14"/>
    <tableColumn name="If you use AI for creative hobbies, what do you use it for?" id="15"/>
    <tableColumn name="generative AI helps me get things done faster" id="16"/>
    <tableColumn name="Generative AI applications are easy to use." id="17"/>
    <tableColumn name="AI assists my creativity" id="18"/>
    <tableColumn name="AI kills creativity" id="19"/>
    <tableColumn name="I am interested in using artificially intelligent systems in my daily life." id="20"/>
    <tableColumn name="I find Artificial Intelligence sinister." id="21"/>
    <tableColumn name="Artificial Intelligence might take control of people." id="22"/>
    <tableColumn name="I think Artificial Intelligence is dangerous." id="23"/>
    <tableColumn name="Artificial Intelligence can have positive impacts on people's wellbeing." id="24"/>
    <tableColumn name="Artificial Intelligence is exciting." id="25"/>
    <tableColumn name="Much of society will benefit from a future full of Artificial Intelligence." id="26"/>
    <tableColumn name="I would like to use Artificial Intelligence in my own job." id="27"/>
    <tableColumn name="I shiver with discomfort when I think about future uses of Artificial Intelligence." id="28"/>
    <tableColumn name="People like me will suffer if Artificial Intelligence is used more and more." id="29"/>
  </tableColumns>
  <tableStyleInfo name="Form Responses 1-style" showColumnStripes="0" showFirstColumn="1" showLastColumn="1" showRowStripes="1"/>
</table>
</file>

<file path=xl/tables/table2.xml><?xml version="1.0" encoding="utf-8"?>
<table xmlns="http://schemas.openxmlformats.org/spreadsheetml/2006/main" ref="T22:X37" displayName="Table1" name="Table1" id="2">
  <tableColumns count="5">
    <tableColumn name="I am interested in using artificially intelligent systems in my daily life." id="1"/>
    <tableColumn name="Artificial Intelligence can have positive impacts on people's wellbeing." id="2"/>
    <tableColumn name="Artificial Intelligence is exciting." id="3"/>
    <tableColumn name="Much of society will benefit from a future full of Artificial Intelligence." id="4"/>
    <tableColumn name="I would like to use Artificial Intelligence in my own job." id="5"/>
  </tableColumns>
  <tableStyleInfo name="Form Responses 1-style 2" showColumnStripes="0" showFirstColumn="1" showLastColumn="1" showRowStripes="1"/>
</table>
</file>

<file path=xl/tables/table3.xml><?xml version="1.0" encoding="utf-8"?>
<table xmlns="http://schemas.openxmlformats.org/spreadsheetml/2006/main" ref="T39:X54" displayName="Table2" name="Table2" id="3">
  <tableColumns count="5">
    <tableColumn name="I find Artificial Intelligence sinister." id="1"/>
    <tableColumn name="Artificial Intelligence might take control of people." id="2"/>
    <tableColumn name="I think Artificial Intelligence is dangerous." id="3"/>
    <tableColumn name="I shiver with discomfort when I think about future uses of Artificial Intelligence." id="4"/>
    <tableColumn name="People like me will suffer if Artificial Intelligence is used more and more." id="5"/>
  </tableColumns>
  <tableStyleInfo name="Form Responses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3.75"/>
    <col customWidth="1" min="4" max="4" width="26.25"/>
    <col customWidth="1" min="5" max="5" width="37.63"/>
    <col customWidth="1" min="6" max="6" width="28.75"/>
    <col customWidth="1" min="7" max="8" width="37.63"/>
    <col customWidth="1" min="9" max="9" width="36.38"/>
    <col customWidth="1" min="10" max="10" width="30.5"/>
    <col customWidth="1" min="11" max="11" width="31.88"/>
    <col customWidth="1" min="12" max="12" width="36.75"/>
    <col customWidth="1" min="13" max="16" width="37.63"/>
    <col customWidth="1" min="17" max="17" width="36.0"/>
    <col customWidth="1" min="18" max="18" width="22.0"/>
    <col customWidth="1" min="19" max="19" width="18.88"/>
    <col customWidth="1" min="20" max="20" width="37.63"/>
    <col customWidth="1" min="21" max="21" width="30.25"/>
    <col customWidth="1" min="22" max="22" width="37.63"/>
    <col customWidth="1" min="23" max="23" width="35.13"/>
    <col customWidth="1" min="24" max="24" width="37.63"/>
    <col customWidth="1" min="25" max="25" width="28.25"/>
    <col customWidth="1" min="26" max="29" width="37.63"/>
    <col customWidth="1" min="30" max="3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ht="22.5" customHeight="1">
      <c r="A2" s="2">
        <v>46139.43870918981</v>
      </c>
      <c r="B2" s="3" t="s">
        <v>29</v>
      </c>
      <c r="C2" s="3">
        <v>26.0</v>
      </c>
      <c r="D2" s="3" t="s">
        <v>30</v>
      </c>
      <c r="E2" s="3" t="s">
        <v>31</v>
      </c>
      <c r="F2" s="3" t="s">
        <v>32</v>
      </c>
      <c r="G2" s="3" t="s">
        <v>33</v>
      </c>
      <c r="H2" s="3" t="s">
        <v>34</v>
      </c>
      <c r="I2" s="3" t="s">
        <v>35</v>
      </c>
      <c r="J2" s="3" t="s">
        <v>36</v>
      </c>
      <c r="K2" s="3" t="s">
        <v>36</v>
      </c>
      <c r="L2" s="3" t="s">
        <v>37</v>
      </c>
      <c r="M2" s="3" t="s">
        <v>37</v>
      </c>
      <c r="N2" s="3" t="s">
        <v>37</v>
      </c>
      <c r="O2" s="3" t="s">
        <v>38</v>
      </c>
      <c r="P2" s="3">
        <v>2.0</v>
      </c>
      <c r="Q2" s="3">
        <v>3.0</v>
      </c>
      <c r="R2" s="3">
        <v>2.0</v>
      </c>
      <c r="S2" s="3">
        <v>2.0</v>
      </c>
      <c r="T2" s="3">
        <v>4.0</v>
      </c>
      <c r="U2" s="3">
        <v>3.0</v>
      </c>
      <c r="V2" s="3">
        <v>2.0</v>
      </c>
      <c r="W2" s="3">
        <v>4.0</v>
      </c>
      <c r="X2" s="3">
        <v>3.0</v>
      </c>
      <c r="Y2" s="3">
        <v>4.0</v>
      </c>
      <c r="Z2" s="3">
        <v>1.0</v>
      </c>
      <c r="AA2" s="3">
        <v>4.0</v>
      </c>
      <c r="AB2" s="3">
        <v>4.0</v>
      </c>
      <c r="AC2" s="3">
        <v>5.0</v>
      </c>
    </row>
    <row r="3" ht="22.5" customHeight="1">
      <c r="A3" s="2">
        <v>46139.60464590278</v>
      </c>
      <c r="B3" s="3" t="s">
        <v>39</v>
      </c>
      <c r="C3" s="3">
        <v>21.0</v>
      </c>
      <c r="D3" s="3" t="s">
        <v>40</v>
      </c>
      <c r="E3" s="3" t="s">
        <v>41</v>
      </c>
      <c r="F3" s="3" t="s">
        <v>42</v>
      </c>
      <c r="G3" s="3" t="s">
        <v>43</v>
      </c>
      <c r="H3" s="3" t="s">
        <v>44</v>
      </c>
      <c r="I3" s="3" t="s">
        <v>45</v>
      </c>
      <c r="J3" s="3" t="s">
        <v>36</v>
      </c>
      <c r="K3" s="3" t="s">
        <v>36</v>
      </c>
      <c r="L3" s="3" t="s">
        <v>46</v>
      </c>
      <c r="M3" s="3" t="s">
        <v>46</v>
      </c>
      <c r="N3" s="3" t="s">
        <v>47</v>
      </c>
      <c r="O3" s="3" t="s">
        <v>48</v>
      </c>
      <c r="P3" s="3">
        <v>1.0</v>
      </c>
      <c r="Q3" s="3">
        <v>2.0</v>
      </c>
      <c r="R3" s="3">
        <v>2.0</v>
      </c>
      <c r="S3" s="3">
        <v>4.0</v>
      </c>
      <c r="T3" s="3">
        <v>4.0</v>
      </c>
      <c r="U3" s="3">
        <v>4.0</v>
      </c>
      <c r="V3" s="3">
        <v>4.0</v>
      </c>
      <c r="W3" s="3">
        <v>4.0</v>
      </c>
      <c r="X3" s="3">
        <v>4.0</v>
      </c>
      <c r="Y3" s="3">
        <v>4.0</v>
      </c>
      <c r="Z3" s="3">
        <v>4.0</v>
      </c>
      <c r="AA3" s="3">
        <v>5.0</v>
      </c>
      <c r="AB3" s="3">
        <v>4.0</v>
      </c>
      <c r="AC3" s="3">
        <v>3.0</v>
      </c>
    </row>
    <row r="4" ht="22.5" customHeight="1">
      <c r="A4" s="2">
        <v>46141.505280983794</v>
      </c>
      <c r="B4" s="3" t="s">
        <v>49</v>
      </c>
      <c r="C4" s="3">
        <v>20.0</v>
      </c>
      <c r="D4" s="3" t="s">
        <v>30</v>
      </c>
      <c r="E4" s="3" t="s">
        <v>41</v>
      </c>
      <c r="F4" s="3" t="s">
        <v>50</v>
      </c>
      <c r="G4" s="3" t="s">
        <v>51</v>
      </c>
      <c r="H4" s="3" t="s">
        <v>52</v>
      </c>
      <c r="I4" s="3" t="s">
        <v>35</v>
      </c>
      <c r="J4" s="3" t="s">
        <v>36</v>
      </c>
      <c r="K4" s="3" t="s">
        <v>36</v>
      </c>
      <c r="L4" s="3" t="s">
        <v>53</v>
      </c>
      <c r="M4" s="3" t="s">
        <v>53</v>
      </c>
      <c r="N4" s="3" t="s">
        <v>47</v>
      </c>
      <c r="O4" s="3" t="s">
        <v>54</v>
      </c>
      <c r="P4" s="3">
        <v>3.0</v>
      </c>
      <c r="Q4" s="3">
        <v>1.0</v>
      </c>
      <c r="R4" s="3">
        <v>3.0</v>
      </c>
      <c r="S4" s="3">
        <v>2.0</v>
      </c>
      <c r="T4" s="3">
        <v>5.0</v>
      </c>
      <c r="U4" s="3">
        <v>5.0</v>
      </c>
      <c r="V4" s="3">
        <v>2.0</v>
      </c>
      <c r="W4" s="3">
        <v>4.0</v>
      </c>
      <c r="X4" s="3">
        <v>5.0</v>
      </c>
      <c r="Y4" s="3">
        <v>5.0</v>
      </c>
      <c r="Z4" s="3">
        <v>4.0</v>
      </c>
      <c r="AA4" s="3">
        <v>4.0</v>
      </c>
      <c r="AB4" s="3">
        <v>5.0</v>
      </c>
      <c r="AC4" s="3">
        <v>3.0</v>
      </c>
    </row>
    <row r="5" ht="22.5" customHeight="1">
      <c r="A5" s="2">
        <v>46141.63264802084</v>
      </c>
      <c r="B5" s="3" t="s">
        <v>55</v>
      </c>
      <c r="C5" s="3">
        <v>22.0</v>
      </c>
      <c r="D5" s="3" t="s">
        <v>40</v>
      </c>
      <c r="E5" s="3" t="s">
        <v>41</v>
      </c>
      <c r="F5" s="3" t="s">
        <v>32</v>
      </c>
      <c r="G5" s="3" t="s">
        <v>33</v>
      </c>
      <c r="H5" s="3" t="s">
        <v>56</v>
      </c>
      <c r="I5" s="3" t="s">
        <v>57</v>
      </c>
      <c r="J5" s="3" t="s">
        <v>36</v>
      </c>
      <c r="K5" s="3" t="s">
        <v>36</v>
      </c>
      <c r="L5" s="3" t="s">
        <v>47</v>
      </c>
      <c r="M5" s="3" t="s">
        <v>47</v>
      </c>
      <c r="N5" s="3" t="s">
        <v>58</v>
      </c>
      <c r="O5" s="3" t="s">
        <v>59</v>
      </c>
      <c r="P5" s="3">
        <v>3.0</v>
      </c>
      <c r="Q5" s="3">
        <v>2.0</v>
      </c>
      <c r="R5" s="3">
        <v>4.0</v>
      </c>
      <c r="S5" s="3">
        <v>2.0</v>
      </c>
      <c r="T5" s="3">
        <v>1.0</v>
      </c>
      <c r="U5" s="3">
        <v>3.0</v>
      </c>
      <c r="V5" s="3">
        <v>3.0</v>
      </c>
      <c r="W5" s="3">
        <v>1.0</v>
      </c>
      <c r="X5" s="3">
        <v>4.0</v>
      </c>
      <c r="Y5" s="3">
        <v>3.0</v>
      </c>
      <c r="Z5" s="3">
        <v>3.0</v>
      </c>
      <c r="AA5" s="3">
        <v>2.0</v>
      </c>
      <c r="AB5" s="3">
        <v>3.0</v>
      </c>
      <c r="AC5" s="3">
        <v>2.0</v>
      </c>
    </row>
    <row r="6" ht="22.5" customHeight="1">
      <c r="A6" s="2">
        <v>46141.6873217824</v>
      </c>
      <c r="B6" s="3" t="s">
        <v>60</v>
      </c>
      <c r="C6" s="3">
        <v>24.0</v>
      </c>
      <c r="D6" s="3" t="s">
        <v>61</v>
      </c>
      <c r="E6" s="3" t="s">
        <v>62</v>
      </c>
      <c r="F6" s="3" t="s">
        <v>63</v>
      </c>
      <c r="G6" s="3" t="s">
        <v>51</v>
      </c>
      <c r="H6" s="3" t="s">
        <v>64</v>
      </c>
      <c r="I6" s="3" t="s">
        <v>57</v>
      </c>
      <c r="J6" s="3" t="s">
        <v>36</v>
      </c>
      <c r="K6" s="3" t="s">
        <v>36</v>
      </c>
      <c r="L6" s="3" t="s">
        <v>53</v>
      </c>
      <c r="M6" s="3" t="s">
        <v>37</v>
      </c>
      <c r="N6" s="3" t="s">
        <v>58</v>
      </c>
      <c r="O6" s="4"/>
      <c r="P6" s="3">
        <v>3.0</v>
      </c>
      <c r="Q6" s="3">
        <v>3.0</v>
      </c>
      <c r="R6" s="3">
        <v>5.0</v>
      </c>
      <c r="S6" s="3">
        <v>1.0</v>
      </c>
      <c r="T6" s="3">
        <v>2.0</v>
      </c>
      <c r="U6" s="3">
        <v>1.0</v>
      </c>
      <c r="V6" s="3">
        <v>4.0</v>
      </c>
      <c r="W6" s="3">
        <v>1.0</v>
      </c>
      <c r="X6" s="3">
        <v>1.0</v>
      </c>
      <c r="Y6" s="3">
        <v>2.0</v>
      </c>
      <c r="Z6" s="3">
        <v>1.0</v>
      </c>
      <c r="AA6" s="3">
        <v>1.0</v>
      </c>
      <c r="AB6" s="3">
        <v>2.0</v>
      </c>
      <c r="AC6" s="3">
        <v>2.0</v>
      </c>
    </row>
    <row r="7" ht="22.5" customHeight="1">
      <c r="A7" s="2">
        <v>46142.45714946759</v>
      </c>
      <c r="B7" s="3" t="s">
        <v>65</v>
      </c>
      <c r="C7" s="3">
        <v>25.0</v>
      </c>
      <c r="D7" s="3" t="s">
        <v>30</v>
      </c>
      <c r="E7" s="3" t="s">
        <v>41</v>
      </c>
      <c r="F7" s="3" t="s">
        <v>32</v>
      </c>
      <c r="G7" s="3" t="s">
        <v>58</v>
      </c>
      <c r="H7" s="4"/>
      <c r="I7" s="3" t="s">
        <v>45</v>
      </c>
      <c r="J7" s="3" t="s">
        <v>36</v>
      </c>
      <c r="K7" s="3" t="s">
        <v>36</v>
      </c>
      <c r="L7" s="3" t="s">
        <v>46</v>
      </c>
      <c r="M7" s="3" t="s">
        <v>46</v>
      </c>
      <c r="N7" s="3" t="s">
        <v>47</v>
      </c>
      <c r="O7" s="4"/>
      <c r="P7" s="3">
        <v>1.0</v>
      </c>
      <c r="Q7" s="3">
        <v>2.0</v>
      </c>
      <c r="R7" s="3">
        <v>4.0</v>
      </c>
      <c r="S7" s="3">
        <v>3.0</v>
      </c>
      <c r="T7" s="3">
        <v>5.0</v>
      </c>
      <c r="U7" s="3">
        <v>3.0</v>
      </c>
      <c r="V7" s="3">
        <v>5.0</v>
      </c>
      <c r="W7" s="3">
        <v>3.0</v>
      </c>
      <c r="X7" s="3">
        <v>3.0</v>
      </c>
      <c r="Y7" s="3">
        <v>4.0</v>
      </c>
      <c r="Z7" s="3">
        <v>4.0</v>
      </c>
      <c r="AA7" s="3">
        <v>5.0</v>
      </c>
      <c r="AB7" s="3">
        <v>5.0</v>
      </c>
      <c r="AC7" s="3">
        <v>5.0</v>
      </c>
    </row>
    <row r="8" ht="22.5" customHeight="1">
      <c r="A8" s="2">
        <v>46142.50993732639</v>
      </c>
      <c r="B8" s="3" t="s">
        <v>66</v>
      </c>
      <c r="C8" s="3">
        <v>28.0</v>
      </c>
      <c r="D8" s="3" t="s">
        <v>40</v>
      </c>
      <c r="E8" s="3" t="s">
        <v>41</v>
      </c>
      <c r="F8" s="3" t="s">
        <v>32</v>
      </c>
      <c r="G8" s="3" t="s">
        <v>43</v>
      </c>
      <c r="H8" s="3" t="s">
        <v>56</v>
      </c>
      <c r="I8" s="3" t="s">
        <v>67</v>
      </c>
      <c r="J8" s="3" t="s">
        <v>36</v>
      </c>
      <c r="K8" s="3" t="s">
        <v>36</v>
      </c>
      <c r="L8" s="3" t="s">
        <v>47</v>
      </c>
      <c r="M8" s="3" t="s">
        <v>47</v>
      </c>
      <c r="N8" s="3" t="s">
        <v>58</v>
      </c>
      <c r="O8" s="4"/>
      <c r="P8" s="3">
        <v>2.0</v>
      </c>
      <c r="Q8" s="3">
        <v>2.0</v>
      </c>
      <c r="R8" s="3">
        <v>3.0</v>
      </c>
      <c r="S8" s="3">
        <v>2.0</v>
      </c>
      <c r="T8" s="3">
        <v>3.0</v>
      </c>
      <c r="U8" s="3">
        <v>4.0</v>
      </c>
      <c r="V8" s="3">
        <v>2.0</v>
      </c>
      <c r="W8" s="3">
        <v>2.0</v>
      </c>
      <c r="X8" s="3">
        <v>4.0</v>
      </c>
      <c r="Y8" s="3">
        <v>3.0</v>
      </c>
      <c r="Z8" s="3">
        <v>3.0</v>
      </c>
      <c r="AA8" s="3">
        <v>2.0</v>
      </c>
      <c r="AB8" s="3">
        <v>2.0</v>
      </c>
      <c r="AC8" s="3">
        <v>4.0</v>
      </c>
    </row>
    <row r="9" ht="22.5" customHeight="1">
      <c r="A9" s="2">
        <v>46142.57144909722</v>
      </c>
      <c r="B9" s="3" t="s">
        <v>68</v>
      </c>
      <c r="C9" s="3">
        <v>23.0</v>
      </c>
      <c r="D9" s="3" t="s">
        <v>40</v>
      </c>
      <c r="E9" s="3" t="s">
        <v>41</v>
      </c>
      <c r="F9" s="3" t="s">
        <v>32</v>
      </c>
      <c r="G9" s="3" t="s">
        <v>33</v>
      </c>
      <c r="H9" s="3" t="s">
        <v>69</v>
      </c>
      <c r="I9" s="3" t="s">
        <v>45</v>
      </c>
      <c r="J9" s="3" t="s">
        <v>36</v>
      </c>
      <c r="K9" s="3" t="s">
        <v>36</v>
      </c>
      <c r="L9" s="3" t="s">
        <v>47</v>
      </c>
      <c r="M9" s="3" t="s">
        <v>47</v>
      </c>
      <c r="N9" s="3" t="s">
        <v>58</v>
      </c>
      <c r="O9" s="4"/>
      <c r="P9" s="3">
        <v>2.0</v>
      </c>
      <c r="Q9" s="3">
        <v>2.0</v>
      </c>
      <c r="R9" s="3">
        <v>3.0</v>
      </c>
      <c r="S9" s="3">
        <v>2.0</v>
      </c>
      <c r="T9" s="3">
        <v>2.0</v>
      </c>
      <c r="U9" s="3">
        <v>2.0</v>
      </c>
      <c r="V9" s="3">
        <v>4.0</v>
      </c>
      <c r="W9" s="3">
        <v>2.0</v>
      </c>
      <c r="X9" s="3">
        <v>4.0</v>
      </c>
      <c r="Y9" s="3">
        <v>3.0</v>
      </c>
      <c r="Z9" s="3">
        <v>2.0</v>
      </c>
      <c r="AA9" s="3">
        <v>2.0</v>
      </c>
      <c r="AB9" s="3">
        <v>3.0</v>
      </c>
      <c r="AC9" s="3">
        <v>2.0</v>
      </c>
    </row>
    <row r="10" ht="22.5" customHeight="1">
      <c r="A10" s="2">
        <v>46142.62906746528</v>
      </c>
      <c r="B10" s="3" t="s">
        <v>70</v>
      </c>
      <c r="C10" s="3">
        <v>27.0</v>
      </c>
      <c r="D10" s="3" t="s">
        <v>30</v>
      </c>
      <c r="E10" s="3" t="s">
        <v>62</v>
      </c>
      <c r="F10" s="3" t="s">
        <v>71</v>
      </c>
      <c r="G10" s="3" t="s">
        <v>72</v>
      </c>
      <c r="H10" s="3" t="s">
        <v>73</v>
      </c>
      <c r="I10" s="3" t="s">
        <v>45</v>
      </c>
      <c r="J10" s="3" t="s">
        <v>36</v>
      </c>
      <c r="K10" s="3" t="s">
        <v>36</v>
      </c>
      <c r="L10" s="3" t="s">
        <v>58</v>
      </c>
      <c r="M10" s="3" t="s">
        <v>58</v>
      </c>
      <c r="N10" s="3" t="s">
        <v>58</v>
      </c>
      <c r="O10" s="4"/>
      <c r="P10" s="3">
        <v>5.0</v>
      </c>
      <c r="Q10" s="3">
        <v>5.0</v>
      </c>
      <c r="R10" s="3">
        <v>5.0</v>
      </c>
      <c r="S10" s="3">
        <v>1.0</v>
      </c>
      <c r="T10" s="3">
        <v>1.0</v>
      </c>
      <c r="U10" s="3">
        <v>2.0</v>
      </c>
      <c r="V10" s="3">
        <v>3.0</v>
      </c>
      <c r="W10" s="3">
        <v>1.0</v>
      </c>
      <c r="X10" s="3">
        <v>1.0</v>
      </c>
      <c r="Y10" s="3">
        <v>1.0</v>
      </c>
      <c r="Z10" s="3">
        <v>1.0</v>
      </c>
      <c r="AA10" s="3">
        <v>1.0</v>
      </c>
      <c r="AB10" s="3">
        <v>2.0</v>
      </c>
      <c r="AC10" s="3">
        <v>2.0</v>
      </c>
    </row>
    <row r="11" ht="22.5" customHeight="1">
      <c r="A11" s="2">
        <v>46146.509173784725</v>
      </c>
      <c r="B11" s="3" t="s">
        <v>74</v>
      </c>
      <c r="C11" s="3">
        <v>23.0</v>
      </c>
      <c r="D11" s="3" t="s">
        <v>40</v>
      </c>
      <c r="E11" s="3" t="s">
        <v>41</v>
      </c>
      <c r="F11" s="3" t="s">
        <v>75</v>
      </c>
      <c r="G11" s="3" t="s">
        <v>72</v>
      </c>
      <c r="H11" s="3" t="s">
        <v>76</v>
      </c>
      <c r="I11" s="3" t="s">
        <v>45</v>
      </c>
      <c r="J11" s="3" t="s">
        <v>36</v>
      </c>
      <c r="K11" s="3" t="s">
        <v>36</v>
      </c>
      <c r="L11" s="3" t="s">
        <v>53</v>
      </c>
      <c r="M11" s="3" t="s">
        <v>53</v>
      </c>
      <c r="N11" s="3" t="s">
        <v>47</v>
      </c>
      <c r="O11" s="3" t="s">
        <v>77</v>
      </c>
      <c r="P11" s="3">
        <v>2.0</v>
      </c>
      <c r="Q11" s="3">
        <v>2.0</v>
      </c>
      <c r="R11" s="3">
        <v>4.0</v>
      </c>
      <c r="S11" s="3">
        <v>4.0</v>
      </c>
      <c r="T11" s="3">
        <v>3.0</v>
      </c>
      <c r="U11" s="3">
        <v>4.0</v>
      </c>
      <c r="V11" s="3">
        <v>1.0</v>
      </c>
      <c r="W11" s="3">
        <v>2.0</v>
      </c>
      <c r="X11" s="3">
        <v>2.0</v>
      </c>
      <c r="Y11" s="3">
        <v>1.0</v>
      </c>
      <c r="Z11" s="3">
        <v>4.0</v>
      </c>
      <c r="AA11" s="3">
        <v>3.0</v>
      </c>
      <c r="AB11" s="3">
        <v>2.0</v>
      </c>
      <c r="AC11" s="3">
        <v>2.0</v>
      </c>
    </row>
    <row r="12" ht="22.5" customHeight="1">
      <c r="A12" s="2">
        <v>46146.58995219907</v>
      </c>
      <c r="B12" s="3" t="s">
        <v>78</v>
      </c>
      <c r="C12" s="3">
        <v>23.0</v>
      </c>
      <c r="D12" s="3" t="s">
        <v>40</v>
      </c>
      <c r="E12" s="3" t="s">
        <v>41</v>
      </c>
      <c r="F12" s="3" t="s">
        <v>79</v>
      </c>
      <c r="G12" s="3" t="s">
        <v>33</v>
      </c>
      <c r="H12" s="3" t="s">
        <v>80</v>
      </c>
      <c r="I12" s="3" t="s">
        <v>57</v>
      </c>
      <c r="J12" s="3" t="s">
        <v>36</v>
      </c>
      <c r="K12" s="3" t="s">
        <v>36</v>
      </c>
      <c r="L12" s="3" t="s">
        <v>53</v>
      </c>
      <c r="M12" s="3" t="s">
        <v>53</v>
      </c>
      <c r="N12" s="3" t="s">
        <v>47</v>
      </c>
      <c r="O12" s="3" t="s">
        <v>81</v>
      </c>
      <c r="P12" s="3">
        <v>2.0</v>
      </c>
      <c r="Q12" s="3">
        <v>1.0</v>
      </c>
      <c r="R12" s="3">
        <v>2.0</v>
      </c>
      <c r="S12" s="3">
        <v>3.0</v>
      </c>
      <c r="T12" s="3">
        <v>2.0</v>
      </c>
      <c r="U12" s="3">
        <v>2.0</v>
      </c>
      <c r="V12" s="3">
        <v>3.0</v>
      </c>
      <c r="W12" s="3">
        <v>2.0</v>
      </c>
      <c r="X12" s="3">
        <v>1.0</v>
      </c>
      <c r="Y12" s="3">
        <v>1.0</v>
      </c>
      <c r="Z12" s="3">
        <v>2.0</v>
      </c>
      <c r="AA12" s="3">
        <v>3.0</v>
      </c>
      <c r="AB12" s="3">
        <v>2.0</v>
      </c>
      <c r="AC12" s="3">
        <v>3.0</v>
      </c>
    </row>
    <row r="13" ht="22.5" customHeight="1">
      <c r="A13" s="2">
        <v>46148.560784236106</v>
      </c>
      <c r="B13" s="3" t="s">
        <v>82</v>
      </c>
      <c r="C13" s="3">
        <v>23.0</v>
      </c>
      <c r="D13" s="3" t="s">
        <v>30</v>
      </c>
      <c r="E13" s="3" t="s">
        <v>41</v>
      </c>
      <c r="F13" s="3" t="s">
        <v>32</v>
      </c>
      <c r="G13" s="3" t="s">
        <v>33</v>
      </c>
      <c r="H13" s="3" t="s">
        <v>83</v>
      </c>
      <c r="I13" s="3" t="s">
        <v>45</v>
      </c>
      <c r="J13" s="3" t="s">
        <v>36</v>
      </c>
      <c r="K13" s="3" t="s">
        <v>36</v>
      </c>
      <c r="L13" s="3" t="s">
        <v>53</v>
      </c>
      <c r="M13" s="3" t="s">
        <v>53</v>
      </c>
      <c r="N13" s="3" t="s">
        <v>47</v>
      </c>
      <c r="O13" s="3" t="s">
        <v>84</v>
      </c>
      <c r="P13" s="3">
        <v>2.0</v>
      </c>
      <c r="Q13" s="3">
        <v>1.0</v>
      </c>
      <c r="R13" s="3">
        <v>3.0</v>
      </c>
      <c r="S13" s="3">
        <v>2.0</v>
      </c>
      <c r="T13" s="3">
        <v>2.0</v>
      </c>
      <c r="U13" s="3">
        <v>4.0</v>
      </c>
      <c r="V13" s="3">
        <v>4.0</v>
      </c>
      <c r="W13" s="3">
        <v>5.0</v>
      </c>
      <c r="X13" s="3">
        <v>4.0</v>
      </c>
      <c r="Y13" s="3">
        <v>5.0</v>
      </c>
      <c r="Z13" s="3">
        <v>3.0</v>
      </c>
      <c r="AA13" s="3">
        <v>3.0</v>
      </c>
      <c r="AB13" s="3">
        <v>4.0</v>
      </c>
      <c r="AC13" s="3">
        <v>1.0</v>
      </c>
    </row>
    <row r="14" ht="22.5" customHeight="1">
      <c r="A14" s="2">
        <v>46148.635126574074</v>
      </c>
      <c r="B14" s="3" t="s">
        <v>85</v>
      </c>
      <c r="C14" s="3">
        <v>24.0</v>
      </c>
      <c r="D14" s="3" t="s">
        <v>30</v>
      </c>
      <c r="E14" s="3" t="s">
        <v>41</v>
      </c>
      <c r="F14" s="3" t="s">
        <v>86</v>
      </c>
      <c r="G14" s="3" t="s">
        <v>33</v>
      </c>
      <c r="H14" s="3" t="s">
        <v>87</v>
      </c>
      <c r="I14" s="3" t="s">
        <v>45</v>
      </c>
      <c r="J14" s="3" t="s">
        <v>36</v>
      </c>
      <c r="K14" s="3" t="s">
        <v>36</v>
      </c>
      <c r="L14" s="3" t="s">
        <v>53</v>
      </c>
      <c r="M14" s="3" t="s">
        <v>47</v>
      </c>
      <c r="N14" s="3" t="s">
        <v>58</v>
      </c>
      <c r="O14" s="4"/>
      <c r="P14" s="3">
        <v>4.0</v>
      </c>
      <c r="Q14" s="3">
        <v>3.0</v>
      </c>
      <c r="R14" s="3">
        <v>5.0</v>
      </c>
      <c r="S14" s="3">
        <v>1.0</v>
      </c>
      <c r="T14" s="3">
        <v>2.0</v>
      </c>
      <c r="U14" s="3">
        <v>3.0</v>
      </c>
      <c r="V14" s="3">
        <v>4.0</v>
      </c>
      <c r="W14" s="3">
        <v>1.0</v>
      </c>
      <c r="X14" s="3">
        <v>4.0</v>
      </c>
      <c r="Y14" s="3">
        <v>1.0</v>
      </c>
      <c r="Z14" s="3">
        <v>2.0</v>
      </c>
      <c r="AA14" s="3">
        <v>3.0</v>
      </c>
      <c r="AB14" s="3">
        <v>2.0</v>
      </c>
      <c r="AC14" s="3">
        <v>3.0</v>
      </c>
    </row>
    <row r="15" ht="22.5" customHeight="1">
      <c r="A15" s="2">
        <v>46148.70038519676</v>
      </c>
      <c r="B15" s="3" t="s">
        <v>88</v>
      </c>
      <c r="C15" s="3">
        <v>27.0</v>
      </c>
      <c r="D15" s="3" t="s">
        <v>30</v>
      </c>
      <c r="E15" s="3" t="s">
        <v>41</v>
      </c>
      <c r="F15" s="3" t="s">
        <v>89</v>
      </c>
      <c r="G15" s="3" t="s">
        <v>43</v>
      </c>
      <c r="H15" s="3" t="s">
        <v>90</v>
      </c>
      <c r="I15" s="3" t="s">
        <v>35</v>
      </c>
      <c r="J15" s="3" t="s">
        <v>36</v>
      </c>
      <c r="K15" s="3" t="s">
        <v>91</v>
      </c>
      <c r="L15" s="3" t="s">
        <v>47</v>
      </c>
      <c r="M15" s="3" t="s">
        <v>58</v>
      </c>
      <c r="N15" s="3" t="s">
        <v>58</v>
      </c>
      <c r="O15" s="3" t="s">
        <v>92</v>
      </c>
      <c r="P15" s="3">
        <v>3.0</v>
      </c>
      <c r="Q15" s="3">
        <v>2.0</v>
      </c>
      <c r="R15" s="3">
        <v>4.0</v>
      </c>
      <c r="S15" s="3">
        <v>1.0</v>
      </c>
      <c r="T15" s="3">
        <v>4.0</v>
      </c>
      <c r="U15" s="3">
        <v>4.0</v>
      </c>
      <c r="V15" s="3">
        <v>2.0</v>
      </c>
      <c r="W15" s="3">
        <v>2.0</v>
      </c>
      <c r="X15" s="3">
        <v>3.0</v>
      </c>
      <c r="Y15" s="3">
        <v>3.0</v>
      </c>
      <c r="Z15" s="3">
        <v>2.0</v>
      </c>
      <c r="AA15" s="3">
        <v>3.0</v>
      </c>
      <c r="AB15" s="3">
        <v>2.0</v>
      </c>
      <c r="AC15" s="3">
        <v>4.0</v>
      </c>
    </row>
    <row r="16" ht="22.5" customHeight="1">
      <c r="A16" s="2">
        <v>46149.383028634256</v>
      </c>
      <c r="B16" s="3" t="s">
        <v>93</v>
      </c>
      <c r="C16" s="3">
        <v>28.0</v>
      </c>
      <c r="D16" s="3" t="s">
        <v>40</v>
      </c>
      <c r="E16" s="3" t="s">
        <v>41</v>
      </c>
      <c r="F16" s="3" t="s">
        <v>94</v>
      </c>
      <c r="G16" s="3" t="s">
        <v>72</v>
      </c>
      <c r="H16" s="3" t="s">
        <v>95</v>
      </c>
      <c r="I16" s="3" t="s">
        <v>57</v>
      </c>
      <c r="J16" s="3" t="s">
        <v>36</v>
      </c>
      <c r="K16" s="3" t="s">
        <v>36</v>
      </c>
      <c r="L16" s="3" t="s">
        <v>53</v>
      </c>
      <c r="M16" s="3" t="s">
        <v>47</v>
      </c>
      <c r="N16" s="3" t="s">
        <v>47</v>
      </c>
      <c r="O16" s="3" t="s">
        <v>96</v>
      </c>
      <c r="P16" s="3">
        <v>3.0</v>
      </c>
      <c r="Q16" s="3">
        <v>1.0</v>
      </c>
      <c r="R16" s="3">
        <v>4.0</v>
      </c>
      <c r="S16" s="3">
        <v>1.0</v>
      </c>
      <c r="T16" s="3">
        <v>3.0</v>
      </c>
      <c r="U16" s="3">
        <v>3.0</v>
      </c>
      <c r="V16" s="3">
        <v>4.0</v>
      </c>
      <c r="W16" s="3">
        <v>2.0</v>
      </c>
      <c r="X16" s="3">
        <v>3.0</v>
      </c>
      <c r="Y16" s="3">
        <v>2.0</v>
      </c>
      <c r="Z16" s="3">
        <v>4.0</v>
      </c>
      <c r="AA16" s="3">
        <v>2.0</v>
      </c>
      <c r="AB16" s="3">
        <v>3.0</v>
      </c>
      <c r="AC16" s="3">
        <v>3.0</v>
      </c>
    </row>
    <row r="17" ht="22.5" customHeight="1">
      <c r="A17" s="5">
        <v>46239.788184062505</v>
      </c>
      <c r="B17" s="6" t="s">
        <v>97</v>
      </c>
      <c r="C17" s="6">
        <v>22.0</v>
      </c>
      <c r="D17" s="6" t="s">
        <v>40</v>
      </c>
      <c r="E17" s="6" t="s">
        <v>98</v>
      </c>
      <c r="F17" s="6">
        <v>2.0</v>
      </c>
      <c r="G17" s="6" t="s">
        <v>51</v>
      </c>
      <c r="H17" s="6">
        <v>2.0</v>
      </c>
      <c r="I17" s="6" t="s">
        <v>67</v>
      </c>
      <c r="J17" s="6" t="s">
        <v>36</v>
      </c>
      <c r="K17" s="6" t="s">
        <v>36</v>
      </c>
      <c r="L17" s="6" t="s">
        <v>58</v>
      </c>
      <c r="M17" s="6" t="s">
        <v>58</v>
      </c>
      <c r="N17" s="6" t="s">
        <v>58</v>
      </c>
      <c r="O17" s="6">
        <v>2.0</v>
      </c>
      <c r="P17" s="6">
        <v>1.0</v>
      </c>
      <c r="Q17" s="6">
        <v>1.0</v>
      </c>
      <c r="R17" s="6">
        <v>1.0</v>
      </c>
      <c r="S17" s="6">
        <v>1.0</v>
      </c>
      <c r="T17" s="6">
        <v>1.0</v>
      </c>
      <c r="U17" s="6">
        <v>1.0</v>
      </c>
      <c r="V17" s="6">
        <v>1.0</v>
      </c>
      <c r="W17" s="6">
        <v>1.0</v>
      </c>
      <c r="X17" s="6">
        <v>1.0</v>
      </c>
      <c r="Y17" s="6">
        <v>1.0</v>
      </c>
      <c r="Z17" s="6">
        <v>1.0</v>
      </c>
      <c r="AA17" s="6">
        <v>1.0</v>
      </c>
      <c r="AB17" s="6">
        <v>1.0</v>
      </c>
      <c r="AC17" s="6">
        <v>1.0</v>
      </c>
    </row>
    <row r="19">
      <c r="C19" s="7">
        <f>AVERAGE(C2:C16)</f>
        <v>24.26666667</v>
      </c>
      <c r="R19" s="7">
        <f t="shared" ref="R19:S19" si="1">AVERAGE(R2:R16)</f>
        <v>3.533333333</v>
      </c>
      <c r="S19" s="7">
        <f t="shared" si="1"/>
        <v>2.066666667</v>
      </c>
    </row>
    <row r="20">
      <c r="C20" s="7">
        <f>STDEV(C2:C16)</f>
        <v>2.491891613</v>
      </c>
      <c r="R20" s="7">
        <f t="shared" ref="R20:S20" si="2">STDEV(R2:R16)</f>
        <v>1.060098827</v>
      </c>
      <c r="S20" s="7">
        <f t="shared" si="2"/>
        <v>1.032795559</v>
      </c>
    </row>
    <row r="22" ht="22.5" customHeight="1">
      <c r="T22" s="1" t="s">
        <v>19</v>
      </c>
      <c r="U22" s="1" t="s">
        <v>23</v>
      </c>
      <c r="V22" s="1" t="s">
        <v>24</v>
      </c>
      <c r="W22" s="1" t="s">
        <v>25</v>
      </c>
      <c r="X22" s="1" t="s">
        <v>26</v>
      </c>
    </row>
    <row r="23" ht="22.5" customHeight="1">
      <c r="T23" s="3">
        <v>4.0</v>
      </c>
      <c r="U23" s="3">
        <v>3.0</v>
      </c>
      <c r="V23" s="3">
        <v>4.0</v>
      </c>
      <c r="W23" s="3">
        <v>1.0</v>
      </c>
      <c r="X23" s="3">
        <v>4.0</v>
      </c>
    </row>
    <row r="24" ht="22.5" customHeight="1">
      <c r="T24" s="3">
        <v>4.0</v>
      </c>
      <c r="U24" s="3">
        <v>4.0</v>
      </c>
      <c r="V24" s="3">
        <v>4.0</v>
      </c>
      <c r="W24" s="3">
        <v>4.0</v>
      </c>
      <c r="X24" s="3">
        <v>5.0</v>
      </c>
    </row>
    <row r="25" ht="22.5" customHeight="1">
      <c r="T25" s="3">
        <v>5.0</v>
      </c>
      <c r="U25" s="3">
        <v>5.0</v>
      </c>
      <c r="V25" s="3">
        <v>5.0</v>
      </c>
      <c r="W25" s="3">
        <v>4.0</v>
      </c>
      <c r="X25" s="3">
        <v>4.0</v>
      </c>
    </row>
    <row r="26" ht="22.5" customHeight="1">
      <c r="T26" s="3">
        <v>1.0</v>
      </c>
      <c r="U26" s="3">
        <v>4.0</v>
      </c>
      <c r="V26" s="3">
        <v>3.0</v>
      </c>
      <c r="W26" s="3">
        <v>3.0</v>
      </c>
      <c r="X26" s="3">
        <v>2.0</v>
      </c>
    </row>
    <row r="27" ht="22.5" customHeight="1">
      <c r="T27" s="3">
        <v>2.0</v>
      </c>
      <c r="U27" s="3">
        <v>1.0</v>
      </c>
      <c r="V27" s="3">
        <v>2.0</v>
      </c>
      <c r="W27" s="3">
        <v>1.0</v>
      </c>
      <c r="X27" s="3">
        <v>1.0</v>
      </c>
    </row>
    <row r="28" ht="22.5" customHeight="1">
      <c r="T28" s="3">
        <v>5.0</v>
      </c>
      <c r="U28" s="3">
        <v>3.0</v>
      </c>
      <c r="V28" s="3">
        <v>4.0</v>
      </c>
      <c r="W28" s="3">
        <v>4.0</v>
      </c>
      <c r="X28" s="3">
        <v>5.0</v>
      </c>
    </row>
    <row r="29" ht="22.5" customHeight="1">
      <c r="T29" s="3">
        <v>3.0</v>
      </c>
      <c r="U29" s="3">
        <v>4.0</v>
      </c>
      <c r="V29" s="3">
        <v>3.0</v>
      </c>
      <c r="W29" s="3">
        <v>3.0</v>
      </c>
      <c r="X29" s="3">
        <v>2.0</v>
      </c>
    </row>
    <row r="30" ht="22.5" customHeight="1">
      <c r="T30" s="3">
        <v>2.0</v>
      </c>
      <c r="U30" s="3">
        <v>4.0</v>
      </c>
      <c r="V30" s="3">
        <v>3.0</v>
      </c>
      <c r="W30" s="3">
        <v>2.0</v>
      </c>
      <c r="X30" s="3">
        <v>2.0</v>
      </c>
    </row>
    <row r="31" ht="22.5" customHeight="1">
      <c r="T31" s="3">
        <v>1.0</v>
      </c>
      <c r="U31" s="3">
        <v>1.0</v>
      </c>
      <c r="V31" s="3">
        <v>1.0</v>
      </c>
      <c r="W31" s="3">
        <v>1.0</v>
      </c>
      <c r="X31" s="3">
        <v>1.0</v>
      </c>
    </row>
    <row r="32" ht="22.5" customHeight="1">
      <c r="T32" s="3">
        <v>3.0</v>
      </c>
      <c r="U32" s="3">
        <v>2.0</v>
      </c>
      <c r="V32" s="3">
        <v>1.0</v>
      </c>
      <c r="W32" s="3">
        <v>4.0</v>
      </c>
      <c r="X32" s="3">
        <v>3.0</v>
      </c>
    </row>
    <row r="33" ht="22.5" customHeight="1">
      <c r="T33" s="3">
        <v>2.0</v>
      </c>
      <c r="U33" s="3">
        <v>1.0</v>
      </c>
      <c r="V33" s="3">
        <v>1.0</v>
      </c>
      <c r="W33" s="3">
        <v>2.0</v>
      </c>
      <c r="X33" s="3">
        <v>3.0</v>
      </c>
    </row>
    <row r="34" ht="22.5" customHeight="1">
      <c r="T34" s="3">
        <v>2.0</v>
      </c>
      <c r="U34" s="3">
        <v>4.0</v>
      </c>
      <c r="V34" s="3">
        <v>5.0</v>
      </c>
      <c r="W34" s="3">
        <v>3.0</v>
      </c>
      <c r="X34" s="3">
        <v>3.0</v>
      </c>
    </row>
    <row r="35" ht="22.5" customHeight="1">
      <c r="T35" s="3">
        <v>2.0</v>
      </c>
      <c r="U35" s="3">
        <v>4.0</v>
      </c>
      <c r="V35" s="3">
        <v>1.0</v>
      </c>
      <c r="W35" s="3">
        <v>2.0</v>
      </c>
      <c r="X35" s="3">
        <v>3.0</v>
      </c>
      <c r="Z35" s="7">
        <f>AVERAGE(Table1[])</f>
        <v>2.853333333</v>
      </c>
    </row>
    <row r="36" ht="22.5" customHeight="1">
      <c r="T36" s="3">
        <v>4.0</v>
      </c>
      <c r="U36" s="3">
        <v>3.0</v>
      </c>
      <c r="V36" s="3">
        <v>3.0</v>
      </c>
      <c r="W36" s="3">
        <v>2.0</v>
      </c>
      <c r="X36" s="3">
        <v>3.0</v>
      </c>
      <c r="Z36" s="7">
        <f>STDEV(Table1[])</f>
        <v>1.259486525</v>
      </c>
    </row>
    <row r="37" ht="22.5" customHeight="1">
      <c r="T37" s="3">
        <v>3.0</v>
      </c>
      <c r="U37" s="3">
        <v>3.0</v>
      </c>
      <c r="V37" s="3">
        <v>2.0</v>
      </c>
      <c r="W37" s="3">
        <v>4.0</v>
      </c>
      <c r="X37" s="3">
        <v>2.0</v>
      </c>
    </row>
    <row r="39" ht="22.5" customHeight="1">
      <c r="T39" s="1" t="s">
        <v>20</v>
      </c>
      <c r="U39" s="1" t="s">
        <v>21</v>
      </c>
      <c r="V39" s="1" t="s">
        <v>22</v>
      </c>
      <c r="W39" s="1" t="s">
        <v>27</v>
      </c>
      <c r="X39" s="1" t="s">
        <v>28</v>
      </c>
    </row>
    <row r="40" ht="22.5" customHeight="1">
      <c r="T40" s="3">
        <v>3.0</v>
      </c>
      <c r="U40" s="3">
        <v>2.0</v>
      </c>
      <c r="V40" s="3">
        <v>4.0</v>
      </c>
      <c r="W40" s="3">
        <v>4.0</v>
      </c>
      <c r="X40" s="3">
        <v>5.0</v>
      </c>
    </row>
    <row r="41" ht="22.5" customHeight="1">
      <c r="T41" s="3">
        <v>4.0</v>
      </c>
      <c r="U41" s="3">
        <v>4.0</v>
      </c>
      <c r="V41" s="3">
        <v>4.0</v>
      </c>
      <c r="W41" s="3">
        <v>4.0</v>
      </c>
      <c r="X41" s="3">
        <v>3.0</v>
      </c>
    </row>
    <row r="42" ht="22.5" customHeight="1">
      <c r="T42" s="3">
        <v>5.0</v>
      </c>
      <c r="U42" s="3">
        <v>2.0</v>
      </c>
      <c r="V42" s="3">
        <v>4.0</v>
      </c>
      <c r="W42" s="3">
        <v>5.0</v>
      </c>
      <c r="X42" s="3">
        <v>3.0</v>
      </c>
    </row>
    <row r="43" ht="22.5" customHeight="1">
      <c r="T43" s="3">
        <v>3.0</v>
      </c>
      <c r="U43" s="3">
        <v>3.0</v>
      </c>
      <c r="V43" s="3">
        <v>1.0</v>
      </c>
      <c r="W43" s="3">
        <v>3.0</v>
      </c>
      <c r="X43" s="3">
        <v>2.0</v>
      </c>
    </row>
    <row r="44" ht="22.5" customHeight="1">
      <c r="T44" s="3">
        <v>1.0</v>
      </c>
      <c r="U44" s="3">
        <v>4.0</v>
      </c>
      <c r="V44" s="3">
        <v>1.0</v>
      </c>
      <c r="W44" s="3">
        <v>2.0</v>
      </c>
      <c r="X44" s="3">
        <v>2.0</v>
      </c>
    </row>
    <row r="45" ht="22.5" customHeight="1">
      <c r="T45" s="3">
        <v>3.0</v>
      </c>
      <c r="U45" s="3">
        <v>5.0</v>
      </c>
      <c r="V45" s="3">
        <v>3.0</v>
      </c>
      <c r="W45" s="3">
        <v>5.0</v>
      </c>
      <c r="X45" s="3">
        <v>5.0</v>
      </c>
    </row>
    <row r="46" ht="22.5" customHeight="1">
      <c r="T46" s="3">
        <v>4.0</v>
      </c>
      <c r="U46" s="3">
        <v>2.0</v>
      </c>
      <c r="V46" s="3">
        <v>2.0</v>
      </c>
      <c r="W46" s="3">
        <v>2.0</v>
      </c>
      <c r="X46" s="3">
        <v>4.0</v>
      </c>
    </row>
    <row r="47" ht="22.5" customHeight="1">
      <c r="T47" s="3">
        <v>2.0</v>
      </c>
      <c r="U47" s="3">
        <v>4.0</v>
      </c>
      <c r="V47" s="3">
        <v>2.0</v>
      </c>
      <c r="W47" s="3">
        <v>3.0</v>
      </c>
      <c r="X47" s="3">
        <v>2.0</v>
      </c>
    </row>
    <row r="48" ht="22.5" customHeight="1">
      <c r="T48" s="3">
        <v>2.0</v>
      </c>
      <c r="U48" s="3">
        <v>3.0</v>
      </c>
      <c r="V48" s="3">
        <v>1.0</v>
      </c>
      <c r="W48" s="3">
        <v>2.0</v>
      </c>
      <c r="X48" s="3">
        <v>2.0</v>
      </c>
    </row>
    <row r="49" ht="22.5" customHeight="1">
      <c r="T49" s="3">
        <v>4.0</v>
      </c>
      <c r="U49" s="3">
        <v>1.0</v>
      </c>
      <c r="V49" s="3">
        <v>2.0</v>
      </c>
      <c r="W49" s="3">
        <v>2.0</v>
      </c>
      <c r="X49" s="3">
        <v>2.0</v>
      </c>
    </row>
    <row r="50" ht="22.5" customHeight="1">
      <c r="T50" s="3">
        <v>2.0</v>
      </c>
      <c r="U50" s="3">
        <v>3.0</v>
      </c>
      <c r="V50" s="3">
        <v>2.0</v>
      </c>
      <c r="W50" s="3">
        <v>2.0</v>
      </c>
      <c r="X50" s="3">
        <v>3.0</v>
      </c>
    </row>
    <row r="51" ht="22.5" customHeight="1">
      <c r="T51" s="3">
        <v>4.0</v>
      </c>
      <c r="U51" s="3">
        <v>4.0</v>
      </c>
      <c r="V51" s="3">
        <v>5.0</v>
      </c>
      <c r="W51" s="3">
        <v>4.0</v>
      </c>
      <c r="X51" s="3">
        <v>1.0</v>
      </c>
    </row>
    <row r="52" ht="22.5" customHeight="1">
      <c r="T52" s="3">
        <v>3.0</v>
      </c>
      <c r="U52" s="3">
        <v>4.0</v>
      </c>
      <c r="V52" s="3">
        <v>1.0</v>
      </c>
      <c r="W52" s="3">
        <v>2.0</v>
      </c>
      <c r="X52" s="3">
        <v>3.0</v>
      </c>
    </row>
    <row r="53" ht="22.5" customHeight="1">
      <c r="T53" s="3">
        <v>4.0</v>
      </c>
      <c r="U53" s="3">
        <v>2.0</v>
      </c>
      <c r="V53" s="3">
        <v>2.0</v>
      </c>
      <c r="W53" s="3">
        <v>2.0</v>
      </c>
      <c r="X53" s="3">
        <v>4.0</v>
      </c>
      <c r="Z53" s="7">
        <f>AVERAGE(Table2[])</f>
        <v>2.92</v>
      </c>
    </row>
    <row r="54" ht="22.5" customHeight="1">
      <c r="T54" s="3">
        <v>3.0</v>
      </c>
      <c r="U54" s="3">
        <v>4.0</v>
      </c>
      <c r="V54" s="3">
        <v>2.0</v>
      </c>
      <c r="W54" s="3">
        <v>3.0</v>
      </c>
      <c r="X54" s="3">
        <v>3.0</v>
      </c>
      <c r="Z54" s="7">
        <f>STDEV(Table2[])</f>
        <v>1.159683088</v>
      </c>
    </row>
  </sheetData>
  <drawing r:id="rId1"/>
  <tableParts count="3">
    <tablePart r:id="rId5"/>
    <tablePart r:id="rId6"/>
    <tablePart r:id="rId7"/>
  </tableParts>
</worksheet>
</file>