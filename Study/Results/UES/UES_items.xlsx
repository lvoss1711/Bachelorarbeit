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ila\Desktop\XAMPP\htdocs\Bachelorarbeit\Study\Results\UES\"/>
    </mc:Choice>
  </mc:AlternateContent>
  <xr:revisionPtr revIDLastSave="0" documentId="13_ncr:1_{B494EFA2-7A3F-4477-A750-09432F9323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  <sheet name="Tabelle1" sheetId="2" r:id="rId2"/>
  </sheets>
  <definedNames>
    <definedName name="_xlchart.v1.0" hidden="1">'Form Responses 1'!$I$1</definedName>
    <definedName name="_xlchart.v1.1" hidden="1">'Form Responses 1'!$I$2:$I$16</definedName>
    <definedName name="_xlchart.v1.10" hidden="1">'Form Responses 1'!$N$1</definedName>
    <definedName name="_xlchart.v1.11" hidden="1">'Form Responses 1'!$N$2:$N$16</definedName>
    <definedName name="_xlchart.v1.12" hidden="1">'Form Responses 1'!$C$1</definedName>
    <definedName name="_xlchart.v1.13" hidden="1">'Form Responses 1'!$C$2:$C$16</definedName>
    <definedName name="_xlchart.v1.14" hidden="1">'Form Responses 1'!$D$1</definedName>
    <definedName name="_xlchart.v1.15" hidden="1">'Form Responses 1'!$D$2:$D$16</definedName>
    <definedName name="_xlchart.v1.16" hidden="1">'Form Responses 1'!$E$1</definedName>
    <definedName name="_xlchart.v1.17" hidden="1">'Form Responses 1'!$E$2:$E$16</definedName>
    <definedName name="_xlchart.v1.18" hidden="1">'Form Responses 1'!$F$1</definedName>
    <definedName name="_xlchart.v1.19" hidden="1">'Form Responses 1'!$F$2:$F$16</definedName>
    <definedName name="_xlchart.v1.2" hidden="1">'Form Responses 1'!$J$1</definedName>
    <definedName name="_xlchart.v1.20" hidden="1">'Form Responses 1'!$G$1</definedName>
    <definedName name="_xlchart.v1.21" hidden="1">'Form Responses 1'!$G$2:$G$16</definedName>
    <definedName name="_xlchart.v1.22" hidden="1">'Form Responses 1'!$H$1</definedName>
    <definedName name="_xlchart.v1.23" hidden="1">'Form Responses 1'!$H$2:$H$16</definedName>
    <definedName name="_xlchart.v1.3" hidden="1">'Form Responses 1'!$J$2:$J$16</definedName>
    <definedName name="_xlchart.v1.4" hidden="1">'Form Responses 1'!$K$1</definedName>
    <definedName name="_xlchart.v1.5" hidden="1">'Form Responses 1'!$K$2:$K$16</definedName>
    <definedName name="_xlchart.v1.6" hidden="1">'Form Responses 1'!$L$1</definedName>
    <definedName name="_xlchart.v1.7" hidden="1">'Form Responses 1'!$L$2:$L$16</definedName>
    <definedName name="_xlchart.v1.8" hidden="1">'Form Responses 1'!$M$1</definedName>
    <definedName name="_xlchart.v1.9" hidden="1">'Form Responses 1'!$M$2:$M$16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1" l="1"/>
  <c r="G18" i="1"/>
  <c r="F18" i="1"/>
  <c r="K17" i="1"/>
  <c r="N18" i="1"/>
  <c r="M18" i="1"/>
  <c r="L18" i="1"/>
  <c r="K18" i="1"/>
  <c r="J18" i="1"/>
  <c r="I18" i="1"/>
  <c r="E18" i="1"/>
  <c r="D18" i="1"/>
  <c r="C18" i="1"/>
  <c r="N17" i="1"/>
  <c r="M17" i="1"/>
  <c r="L17" i="1"/>
  <c r="L21" i="1" s="1"/>
  <c r="J17" i="1"/>
  <c r="I17" i="1"/>
  <c r="H17" i="1"/>
  <c r="G17" i="1"/>
  <c r="F17" i="1"/>
  <c r="E17" i="1"/>
  <c r="D17" i="1"/>
  <c r="C17" i="1"/>
  <c r="G21" i="1" l="1"/>
  <c r="I21" i="1"/>
  <c r="C21" i="1"/>
  <c r="C22" i="1"/>
</calcChain>
</file>

<file path=xl/sharedStrings.xml><?xml version="1.0" encoding="utf-8"?>
<sst xmlns="http://schemas.openxmlformats.org/spreadsheetml/2006/main" count="36" uniqueCount="36">
  <si>
    <t>Timestamp</t>
  </si>
  <si>
    <t>Enter your probID</t>
  </si>
  <si>
    <t xml:space="preserve">I lost myself in this experience. </t>
  </si>
  <si>
    <t xml:space="preserve">The time I spent using Spielboard just slipped away. </t>
  </si>
  <si>
    <t xml:space="preserve">I was absorbed in this experience. </t>
  </si>
  <si>
    <t xml:space="preserve">Using this Spielboard was taxing </t>
  </si>
  <si>
    <t xml:space="preserve">Spielboard was attractive </t>
  </si>
  <si>
    <t xml:space="preserve">Spielboard was aesthetically appealing </t>
  </si>
  <si>
    <t xml:space="preserve">Spielboard appealed to be visual senses. </t>
  </si>
  <si>
    <t xml:space="preserve">Using Spielboard was worthwhile </t>
  </si>
  <si>
    <t xml:space="preserve">My experience was rewarding. </t>
  </si>
  <si>
    <t xml:space="preserve">I felt interested in this experience. </t>
  </si>
  <si>
    <t>d1p1</t>
  </si>
  <si>
    <t>d1p2</t>
  </si>
  <si>
    <t>d2p1</t>
  </si>
  <si>
    <t>d2p2</t>
  </si>
  <si>
    <t>d2p3</t>
  </si>
  <si>
    <t>d3p1</t>
  </si>
  <si>
    <t>d3p2</t>
  </si>
  <si>
    <t>d3p3</t>
  </si>
  <si>
    <t>d3p4</t>
  </si>
  <si>
    <t>d4p1</t>
  </si>
  <si>
    <t>d4p2</t>
  </si>
  <si>
    <t>d5p1</t>
  </si>
  <si>
    <t>d5p2</t>
  </si>
  <si>
    <t>d5p3</t>
  </si>
  <si>
    <t>d6p1</t>
  </si>
  <si>
    <t>Focused attention</t>
  </si>
  <si>
    <t>Perceived usability</t>
  </si>
  <si>
    <t>reverse coded</t>
  </si>
  <si>
    <t>Aesthetic appeal</t>
  </si>
  <si>
    <t>Reward</t>
  </si>
  <si>
    <t>UES sub</t>
  </si>
  <si>
    <t>UES total</t>
  </si>
  <si>
    <t>I felt frustrated while using Spielboard.</t>
  </si>
  <si>
    <t>I found Spielboard confusing to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</si>
</sst>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/>
  </cellXfs>
  <cellStyles count="1">
    <cellStyle name="Standard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mruColors>
      <color rgb="FF0D56CD"/>
      <color rgb="FF3F84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Focused attention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Focused attention</a:t>
          </a:r>
        </a:p>
      </cx:txPr>
    </cx:title>
    <cx:plotArea>
      <cx:plotAreaRegion>
        <cx:series layoutId="boxWhisker" uniqueId="{AAE861E2-9921-4AC4-904D-5B799AAF68D6}">
          <cx:tx>
            <cx:txData>
              <cx:f>_xlchart.v1.12</cx:f>
              <cx:v>I lost myself in this experience.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7493B26-1E0E-48CA-92BF-A9DE3DDE69D6}">
          <cx:tx>
            <cx:txData>
              <cx:f>_xlchart.v1.14</cx:f>
              <cx:v>The time I spent using Spielboard just slipped away. </cx:v>
            </cx:txData>
          </cx:tx>
          <cx:spPr>
            <a:solidFill>
              <a:srgbClr val="3F84F3"/>
            </a:solidFill>
            <a:ln>
              <a:solidFill>
                <a:srgbClr val="0D56CD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4657ACB-AC58-4BDE-97F7-FD3FAA174C47}">
          <cx:tx>
            <cx:txData>
              <cx:f>_xlchart.v1.16</cx:f>
              <cx:v>I was absorbed in this experience. 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numFmt formatCode="Standard" sourceLinked="0"/>
      </cx:axis>
      <cx:axis id="1">
        <cx:valScaling/>
        <cx:majorGridlines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</cx:chartData>
  <cx:chart>
    <cx:title pos="t" align="ctr" overlay="0">
      <cx:tx>
        <cx:txData>
          <cx:v>Perceived usability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Perceived usability</a:t>
          </a:r>
        </a:p>
      </cx:txPr>
    </cx:title>
    <cx:plotArea>
      <cx:plotAreaRegion>
        <cx:series layoutId="boxWhisker" uniqueId="{5FA78DBA-087A-4C6F-B323-EB76C0F17C7D}">
          <cx:tx>
            <cx:txData>
              <cx:f>_xlchart.v1.18</cx:f>
              <cx:v>I felt frustrated while using Spielboard.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66FCE7-7363-4799-96E1-86D01263D603}">
          <cx:tx>
            <cx:txData>
              <cx:f>_xlchart.v1.20</cx:f>
              <cx:v>I found Spielboard confusing to use.</cx:v>
            </cx:txData>
          </cx:tx>
          <cx:spPr>
            <a:solidFill>
              <a:srgbClr val="3F84F3"/>
            </a:solidFill>
            <a:ln>
              <a:solidFill>
                <a:srgbClr val="0D56CD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FD498CB-CA9C-4330-B54F-768570FABD9B}">
          <cx:tx>
            <cx:txData>
              <cx:f>_xlchart.v1.22</cx:f>
              <cx:v>Using this Spielboard was taxing 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Aesthetic appeal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Aesthetic appeal</a:t>
          </a:r>
        </a:p>
      </cx:txPr>
    </cx:title>
    <cx:plotArea>
      <cx:plotAreaRegion>
        <cx:series layoutId="boxWhisker" uniqueId="{97D47CCD-3DCF-468E-8D66-5ADCA35CA838}">
          <cx:tx>
            <cx:txData>
              <cx:f>_xlchart.v1.0</cx:f>
              <cx:v>Spielboard was attractive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ED33258-8286-41A9-B1DC-C83D9731C161}">
          <cx:tx>
            <cx:txData>
              <cx:f>_xlchart.v1.2</cx:f>
              <cx:v>Spielboard was aesthetically appealing </cx:v>
            </cx:txData>
          </cx:tx>
          <cx:spPr>
            <a:solidFill>
              <a:srgbClr val="3F84F3"/>
            </a:solidFill>
            <a:ln>
              <a:solidFill>
                <a:srgbClr val="0D56CD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BE816EC-C382-458C-9379-6AD67486AC7F}">
          <cx:tx>
            <cx:txData>
              <cx:f>_xlchart.v1.4</cx:f>
              <cx:v>Spielboard appealed to be visual senses. 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txData>
          <cx:v>Reward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Reward</a:t>
          </a:r>
        </a:p>
      </cx:txPr>
    </cx:title>
    <cx:plotArea>
      <cx:plotAreaRegion>
        <cx:series layoutId="boxWhisker" uniqueId="{A408D2F9-4EFC-413B-A2BA-4025A4797F2B}">
          <cx:tx>
            <cx:txData>
              <cx:f>_xlchart.v1.6</cx:f>
              <cx:v>Using Spielboard was worthwhile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E2848FF-5C14-4D91-AAE4-D1C2AE2E3EAD}">
          <cx:tx>
            <cx:txData>
              <cx:f>_xlchart.v1.8</cx:f>
              <cx:v>My experience was rewarding. </cx:v>
            </cx:txData>
          </cx:tx>
          <cx:spPr>
            <a:solidFill>
              <a:srgbClr val="3F84F3"/>
            </a:solidFill>
            <a:ln>
              <a:solidFill>
                <a:srgbClr val="0D56CD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35C4424-6801-4280-82D9-1FC412982FEF}">
          <cx:tx>
            <cx:txData>
              <cx:f>_xlchart.v1.10</cx:f>
              <cx:v>I felt interested in this experience. 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26737</xdr:colOff>
      <xdr:row>23</xdr:row>
      <xdr:rowOff>28764</xdr:rowOff>
    </xdr:from>
    <xdr:to>
      <xdr:col>4</xdr:col>
      <xdr:colOff>772844</xdr:colOff>
      <xdr:row>36</xdr:row>
      <xdr:rowOff>185990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7AD1F935-21AC-4748-B584-2CB422970B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7537" y="6002844"/>
              <a:ext cx="5249527" cy="27327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4</xdr:col>
      <xdr:colOff>1545922</xdr:colOff>
      <xdr:row>23</xdr:row>
      <xdr:rowOff>20510</xdr:rowOff>
    </xdr:from>
    <xdr:to>
      <xdr:col>6</xdr:col>
      <xdr:colOff>1754749</xdr:colOff>
      <xdr:row>36</xdr:row>
      <xdr:rowOff>147031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C00B04D9-C2AF-4C79-84CA-9D8C2608CD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0142" y="5994590"/>
              <a:ext cx="4575087" cy="2702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7</xdr:col>
      <xdr:colOff>495640</xdr:colOff>
      <xdr:row>23</xdr:row>
      <xdr:rowOff>82240</xdr:rowOff>
    </xdr:from>
    <xdr:to>
      <xdr:col>9</xdr:col>
      <xdr:colOff>872226</xdr:colOff>
      <xdr:row>37</xdr:row>
      <xdr:rowOff>8234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503EB7D8-6FFD-40B2-852D-08B21E897B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43060" y="6056320"/>
              <a:ext cx="4567586" cy="2699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10</xdr:col>
      <xdr:colOff>385666</xdr:colOff>
      <xdr:row>23</xdr:row>
      <xdr:rowOff>130417</xdr:rowOff>
    </xdr:from>
    <xdr:to>
      <xdr:col>12</xdr:col>
      <xdr:colOff>1673323</xdr:colOff>
      <xdr:row>37</xdr:row>
      <xdr:rowOff>55654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650DDE78-211E-47D2-9F6F-AA3C3595E9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8146" y="6104497"/>
              <a:ext cx="4579497" cy="26989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18">
  <tableColumns count="14">
    <tableColumn id="1" xr3:uid="{00000000-0010-0000-0000-000001000000}" name="Timestamp"/>
    <tableColumn id="2" xr3:uid="{00000000-0010-0000-0000-000002000000}" name="Enter your probID"/>
    <tableColumn id="3" xr3:uid="{00000000-0010-0000-0000-000003000000}" name="I lost myself in this experience. "/>
    <tableColumn id="4" xr3:uid="{00000000-0010-0000-0000-000004000000}" name="The time I spent using Spielboard just slipped away. "/>
    <tableColumn id="5" xr3:uid="{00000000-0010-0000-0000-000005000000}" name="I was absorbed in this experience. "/>
    <tableColumn id="7" xr3:uid="{00000000-0010-0000-0000-000007000000}" name="I felt frustrated while using Spielboard."/>
    <tableColumn id="9" xr3:uid="{00000000-0010-0000-0000-000009000000}" name="I found Spielboard confusing to use."/>
    <tableColumn id="11" xr3:uid="{00000000-0010-0000-0000-00000B000000}" name="Using this Spielboard was taxing "/>
    <tableColumn id="12" xr3:uid="{00000000-0010-0000-0000-00000C000000}" name="Spielboard was attractive "/>
    <tableColumn id="13" xr3:uid="{00000000-0010-0000-0000-00000D000000}" name="Spielboard was aesthetically appealing "/>
    <tableColumn id="14" xr3:uid="{00000000-0010-0000-0000-00000E000000}" name="Spielboard appealed to be visual senses. "/>
    <tableColumn id="15" xr3:uid="{00000000-0010-0000-0000-00000F000000}" name="Using Spielboard was worthwhile "/>
    <tableColumn id="16" xr3:uid="{00000000-0010-0000-0000-000010000000}" name="My experience was rewarding. "/>
    <tableColumn id="17" xr3:uid="{00000000-0010-0000-0000-000011000000}" name="I felt interested in this experience.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2"/>
  <sheetViews>
    <sheetView tabSelected="1" zoomScale="67" workbookViewId="0">
      <pane ySplit="1" topLeftCell="A5" activePane="bottomLeft" state="frozen"/>
      <selection pane="bottomLeft" activeCell="Q28" sqref="Q28"/>
    </sheetView>
  </sheetViews>
  <sheetFormatPr baseColWidth="10" defaultColWidth="12.6640625" defaultRowHeight="15.75" customHeight="1" x14ac:dyDescent="0.25"/>
  <cols>
    <col min="1" max="2" width="18.88671875" customWidth="1"/>
    <col min="3" max="3" width="28" customWidth="1"/>
    <col min="4" max="4" width="37.6640625" customWidth="1"/>
    <col min="5" max="5" width="30.21875" customWidth="1"/>
    <col min="6" max="6" width="33.44140625" customWidth="1"/>
    <col min="7" max="8" width="31.88671875" customWidth="1"/>
    <col min="9" max="10" width="29.21875" customWidth="1"/>
    <col min="11" max="12" width="24" customWidth="1"/>
    <col min="13" max="13" width="33.88671875" customWidth="1"/>
    <col min="14" max="14" width="35.109375" customWidth="1"/>
    <col min="15" max="16" width="37.6640625" customWidth="1"/>
    <col min="17" max="22" width="18.8867187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35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22.5" customHeight="1" x14ac:dyDescent="0.25">
      <c r="A2" s="2">
        <v>46139.499419988424</v>
      </c>
      <c r="B2" s="3" t="s">
        <v>12</v>
      </c>
      <c r="C2" s="3">
        <v>5</v>
      </c>
      <c r="D2" s="3">
        <v>5</v>
      </c>
      <c r="E2" s="3">
        <v>5</v>
      </c>
      <c r="F2" s="3">
        <v>3</v>
      </c>
      <c r="G2" s="3">
        <v>1</v>
      </c>
      <c r="H2" s="3">
        <v>4</v>
      </c>
      <c r="I2" s="3">
        <v>4</v>
      </c>
      <c r="J2" s="3">
        <v>4</v>
      </c>
      <c r="K2" s="3">
        <v>4</v>
      </c>
      <c r="L2" s="3">
        <v>5</v>
      </c>
      <c r="M2" s="3">
        <v>4</v>
      </c>
      <c r="N2" s="3">
        <v>5</v>
      </c>
    </row>
    <row r="3" spans="1:14" ht="22.5" customHeight="1" x14ac:dyDescent="0.25">
      <c r="A3" s="2">
        <v>46139.654216655093</v>
      </c>
      <c r="B3" s="3" t="s">
        <v>13</v>
      </c>
      <c r="C3" s="3">
        <v>4</v>
      </c>
      <c r="D3" s="3">
        <v>5</v>
      </c>
      <c r="E3" s="3">
        <v>4</v>
      </c>
      <c r="F3" s="3">
        <v>3</v>
      </c>
      <c r="G3" s="3">
        <v>4</v>
      </c>
      <c r="H3" s="3">
        <v>5</v>
      </c>
      <c r="I3" s="3">
        <v>4</v>
      </c>
      <c r="J3" s="3">
        <v>4</v>
      </c>
      <c r="K3" s="3">
        <v>5</v>
      </c>
      <c r="L3" s="3">
        <v>4</v>
      </c>
      <c r="M3" s="3">
        <v>3</v>
      </c>
      <c r="N3" s="3">
        <v>5</v>
      </c>
    </row>
    <row r="4" spans="1:14" ht="22.5" customHeight="1" x14ac:dyDescent="0.25">
      <c r="A4" s="2">
        <v>46141.543415717591</v>
      </c>
      <c r="B4" s="3" t="s">
        <v>14</v>
      </c>
      <c r="C4" s="3">
        <v>3</v>
      </c>
      <c r="D4" s="3">
        <v>4</v>
      </c>
      <c r="E4" s="3">
        <v>4</v>
      </c>
      <c r="F4" s="3">
        <v>4</v>
      </c>
      <c r="G4" s="3">
        <v>5</v>
      </c>
      <c r="H4" s="3">
        <v>2</v>
      </c>
      <c r="I4" s="3">
        <v>4</v>
      </c>
      <c r="J4" s="3">
        <v>2</v>
      </c>
      <c r="K4" s="3">
        <v>4</v>
      </c>
      <c r="L4" s="3">
        <v>5</v>
      </c>
      <c r="M4" s="3">
        <v>4</v>
      </c>
      <c r="N4" s="3">
        <v>4</v>
      </c>
    </row>
    <row r="5" spans="1:14" ht="22.5" customHeight="1" x14ac:dyDescent="0.25">
      <c r="A5" s="2">
        <v>46141.669666712958</v>
      </c>
      <c r="B5" s="3" t="s">
        <v>15</v>
      </c>
      <c r="C5" s="3">
        <v>2</v>
      </c>
      <c r="D5" s="3">
        <v>4</v>
      </c>
      <c r="E5" s="3">
        <v>4</v>
      </c>
      <c r="F5" s="3">
        <v>4</v>
      </c>
      <c r="G5" s="3">
        <v>5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</row>
    <row r="6" spans="1:14" ht="22.5" customHeight="1" x14ac:dyDescent="0.25">
      <c r="A6" s="2">
        <v>46141.744635590279</v>
      </c>
      <c r="B6" s="3" t="s">
        <v>16</v>
      </c>
      <c r="C6" s="3">
        <v>4</v>
      </c>
      <c r="D6" s="3">
        <v>5</v>
      </c>
      <c r="E6" s="3">
        <v>5</v>
      </c>
      <c r="F6" s="3">
        <v>4</v>
      </c>
      <c r="G6" s="3">
        <v>4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</row>
    <row r="7" spans="1:14" ht="22.5" customHeight="1" x14ac:dyDescent="0.25">
      <c r="A7" s="2">
        <v>46142.499208043984</v>
      </c>
      <c r="B7" s="3" t="s">
        <v>17</v>
      </c>
      <c r="C7" s="3">
        <v>2</v>
      </c>
      <c r="D7" s="3">
        <v>4</v>
      </c>
      <c r="E7" s="3">
        <v>5</v>
      </c>
      <c r="F7" s="3">
        <v>1</v>
      </c>
      <c r="G7" s="3">
        <v>5</v>
      </c>
      <c r="H7" s="3">
        <v>4</v>
      </c>
      <c r="I7" s="3">
        <v>3</v>
      </c>
      <c r="J7" s="3">
        <v>5</v>
      </c>
      <c r="K7" s="3">
        <v>4</v>
      </c>
      <c r="L7" s="3">
        <v>1</v>
      </c>
      <c r="M7" s="3">
        <v>3</v>
      </c>
      <c r="N7" s="3">
        <v>3</v>
      </c>
    </row>
    <row r="8" spans="1:14" ht="22.5" customHeight="1" x14ac:dyDescent="0.25">
      <c r="A8" s="2">
        <v>46142.559811145838</v>
      </c>
      <c r="B8" s="3" t="s">
        <v>18</v>
      </c>
      <c r="C8" s="3">
        <v>2</v>
      </c>
      <c r="D8" s="3">
        <v>4</v>
      </c>
      <c r="E8" s="3">
        <v>5</v>
      </c>
      <c r="F8" s="3">
        <v>2</v>
      </c>
      <c r="G8" s="3">
        <v>4</v>
      </c>
      <c r="H8" s="3">
        <v>2</v>
      </c>
      <c r="I8" s="3">
        <v>3</v>
      </c>
      <c r="J8" s="3">
        <v>3</v>
      </c>
      <c r="K8" s="3">
        <v>4</v>
      </c>
      <c r="L8" s="3">
        <v>3</v>
      </c>
      <c r="M8" s="3">
        <v>4</v>
      </c>
      <c r="N8" s="3">
        <v>4</v>
      </c>
    </row>
    <row r="9" spans="1:14" ht="22.5" customHeight="1" x14ac:dyDescent="0.25">
      <c r="A9" s="2">
        <v>46142.616732627313</v>
      </c>
      <c r="B9" s="3" t="s">
        <v>19</v>
      </c>
      <c r="C9" s="3">
        <v>4</v>
      </c>
      <c r="D9" s="3">
        <v>4</v>
      </c>
      <c r="E9" s="3">
        <v>3</v>
      </c>
      <c r="F9" s="3">
        <v>2</v>
      </c>
      <c r="G9" s="3">
        <v>4</v>
      </c>
      <c r="H9" s="3">
        <v>3</v>
      </c>
      <c r="I9" s="3">
        <v>3</v>
      </c>
      <c r="J9" s="3">
        <v>4</v>
      </c>
      <c r="K9" s="3">
        <v>4</v>
      </c>
      <c r="L9" s="3">
        <v>4</v>
      </c>
      <c r="M9" s="3">
        <v>2</v>
      </c>
      <c r="N9" s="3">
        <v>4</v>
      </c>
    </row>
    <row r="10" spans="1:14" ht="22.5" customHeight="1" x14ac:dyDescent="0.25">
      <c r="A10" s="2">
        <v>46142.675235590279</v>
      </c>
      <c r="B10" s="3" t="s">
        <v>20</v>
      </c>
      <c r="C10" s="3">
        <v>4</v>
      </c>
      <c r="D10" s="3">
        <v>4</v>
      </c>
      <c r="E10" s="3">
        <v>4</v>
      </c>
      <c r="F10" s="3">
        <v>5</v>
      </c>
      <c r="G10" s="3">
        <v>5</v>
      </c>
      <c r="H10" s="3">
        <v>3</v>
      </c>
      <c r="I10" s="3">
        <v>4</v>
      </c>
      <c r="J10" s="3">
        <v>4</v>
      </c>
      <c r="K10" s="3">
        <v>4</v>
      </c>
      <c r="L10" s="3">
        <v>4</v>
      </c>
      <c r="M10" s="3">
        <v>3</v>
      </c>
      <c r="N10" s="3">
        <v>5</v>
      </c>
    </row>
    <row r="11" spans="1:14" ht="22.5" customHeight="1" x14ac:dyDescent="0.25">
      <c r="A11" s="2">
        <v>46146.567264456018</v>
      </c>
      <c r="B11" s="3" t="s">
        <v>21</v>
      </c>
      <c r="C11" s="3">
        <v>5</v>
      </c>
      <c r="D11" s="3">
        <v>5</v>
      </c>
      <c r="E11" s="3">
        <v>4</v>
      </c>
      <c r="F11" s="3">
        <v>3</v>
      </c>
      <c r="G11" s="3">
        <v>4</v>
      </c>
      <c r="H11" s="3">
        <v>3</v>
      </c>
      <c r="I11" s="3">
        <v>5</v>
      </c>
      <c r="J11" s="3">
        <v>4</v>
      </c>
      <c r="K11" s="3">
        <v>5</v>
      </c>
      <c r="L11" s="3">
        <v>4</v>
      </c>
      <c r="M11" s="3">
        <v>4</v>
      </c>
      <c r="N11" s="3">
        <v>4</v>
      </c>
    </row>
    <row r="12" spans="1:14" ht="22.5" customHeight="1" x14ac:dyDescent="0.25">
      <c r="A12" s="2">
        <v>46146.655062997685</v>
      </c>
      <c r="B12" s="3" t="s">
        <v>22</v>
      </c>
      <c r="C12" s="3">
        <v>4</v>
      </c>
      <c r="D12" s="3">
        <v>5</v>
      </c>
      <c r="E12" s="3">
        <v>5</v>
      </c>
      <c r="F12" s="3">
        <v>3</v>
      </c>
      <c r="G12" s="3">
        <v>5</v>
      </c>
      <c r="H12" s="3">
        <v>4</v>
      </c>
      <c r="I12" s="3">
        <v>4</v>
      </c>
      <c r="J12" s="3">
        <v>3</v>
      </c>
      <c r="K12" s="3">
        <v>5</v>
      </c>
      <c r="L12" s="3">
        <v>5</v>
      </c>
      <c r="M12" s="3">
        <v>5</v>
      </c>
      <c r="N12" s="3">
        <v>5</v>
      </c>
    </row>
    <row r="13" spans="1:14" ht="22.5" customHeight="1" x14ac:dyDescent="0.25">
      <c r="A13" s="2">
        <v>46148.611393113424</v>
      </c>
      <c r="B13" s="3" t="s">
        <v>23</v>
      </c>
      <c r="C13" s="3">
        <v>4</v>
      </c>
      <c r="D13" s="3">
        <v>5</v>
      </c>
      <c r="E13" s="3">
        <v>5</v>
      </c>
      <c r="F13" s="3">
        <v>1</v>
      </c>
      <c r="G13" s="3">
        <v>5</v>
      </c>
      <c r="H13" s="3">
        <v>3</v>
      </c>
      <c r="I13" s="3">
        <v>2</v>
      </c>
      <c r="J13" s="3">
        <v>1</v>
      </c>
      <c r="K13" s="3">
        <v>3</v>
      </c>
      <c r="L13" s="3">
        <v>3</v>
      </c>
      <c r="M13" s="3">
        <v>3</v>
      </c>
      <c r="N13" s="3">
        <v>5</v>
      </c>
    </row>
    <row r="14" spans="1:14" ht="22.5" customHeight="1" x14ac:dyDescent="0.25">
      <c r="A14" s="2">
        <v>46148.681851238427</v>
      </c>
      <c r="B14" s="3" t="s">
        <v>24</v>
      </c>
      <c r="C14" s="3">
        <v>2</v>
      </c>
      <c r="D14" s="3">
        <v>4</v>
      </c>
      <c r="E14" s="3">
        <v>3</v>
      </c>
      <c r="F14" s="3">
        <v>1</v>
      </c>
      <c r="G14" s="3">
        <v>4</v>
      </c>
      <c r="H14" s="3">
        <v>4</v>
      </c>
      <c r="I14" s="3">
        <v>3</v>
      </c>
      <c r="J14" s="3">
        <v>4</v>
      </c>
      <c r="K14" s="3">
        <v>2</v>
      </c>
      <c r="L14" s="3">
        <v>2</v>
      </c>
      <c r="M14" s="3">
        <v>3</v>
      </c>
      <c r="N14" s="3">
        <v>4</v>
      </c>
    </row>
    <row r="15" spans="1:14" ht="22.5" customHeight="1" x14ac:dyDescent="0.25">
      <c r="A15" s="2">
        <v>46148.762110231481</v>
      </c>
      <c r="B15" s="3" t="s">
        <v>25</v>
      </c>
      <c r="C15" s="3">
        <v>2</v>
      </c>
      <c r="D15" s="3">
        <v>4</v>
      </c>
      <c r="E15" s="3">
        <v>2</v>
      </c>
      <c r="F15" s="3">
        <v>3</v>
      </c>
      <c r="G15" s="3">
        <v>4</v>
      </c>
      <c r="H15" s="3">
        <v>4</v>
      </c>
      <c r="I15" s="3">
        <v>3</v>
      </c>
      <c r="J15" s="3">
        <v>2</v>
      </c>
      <c r="K15" s="3">
        <v>2</v>
      </c>
      <c r="L15" s="3">
        <v>3</v>
      </c>
      <c r="M15" s="3">
        <v>4</v>
      </c>
      <c r="N15" s="3">
        <v>4</v>
      </c>
    </row>
    <row r="16" spans="1:14" ht="22.5" customHeight="1" x14ac:dyDescent="0.25">
      <c r="A16" s="2">
        <v>46149.430712094909</v>
      </c>
      <c r="B16" s="3" t="s">
        <v>26</v>
      </c>
      <c r="C16" s="3">
        <v>4</v>
      </c>
      <c r="D16" s="3">
        <v>5</v>
      </c>
      <c r="E16" s="3">
        <v>3</v>
      </c>
      <c r="F16" s="3">
        <v>3</v>
      </c>
      <c r="G16" s="3">
        <v>4</v>
      </c>
      <c r="H16" s="3">
        <v>4</v>
      </c>
      <c r="I16" s="3">
        <v>5</v>
      </c>
      <c r="J16" s="3">
        <v>4</v>
      </c>
      <c r="K16" s="3">
        <v>3</v>
      </c>
      <c r="L16" s="3">
        <v>5</v>
      </c>
      <c r="M16" s="3">
        <v>4</v>
      </c>
      <c r="N16" s="3">
        <v>5</v>
      </c>
    </row>
    <row r="17" spans="1:14" ht="22.5" customHeight="1" x14ac:dyDescent="0.25">
      <c r="A17" s="2"/>
      <c r="B17" s="3"/>
      <c r="C17" s="3">
        <f t="shared" ref="C17:N17" si="0">AVERAGE(C2:C16)</f>
        <v>3.4</v>
      </c>
      <c r="D17" s="3">
        <f t="shared" si="0"/>
        <v>4.4666666666666668</v>
      </c>
      <c r="E17" s="3">
        <f t="shared" si="0"/>
        <v>4.0666666666666664</v>
      </c>
      <c r="F17" s="3">
        <f t="shared" si="0"/>
        <v>2.8</v>
      </c>
      <c r="G17" s="3">
        <f t="shared" si="0"/>
        <v>4.2</v>
      </c>
      <c r="H17" s="3">
        <f t="shared" si="0"/>
        <v>3.6</v>
      </c>
      <c r="I17" s="3">
        <f t="shared" si="0"/>
        <v>3.7333333333333334</v>
      </c>
      <c r="J17" s="3">
        <f t="shared" si="0"/>
        <v>3.5333333333333332</v>
      </c>
      <c r="K17" s="3">
        <f>AVERAGE(K2:K16)</f>
        <v>3.8666666666666667</v>
      </c>
      <c r="L17" s="3">
        <f t="shared" si="0"/>
        <v>3.8</v>
      </c>
      <c r="M17" s="3">
        <f t="shared" si="0"/>
        <v>3.6666666666666665</v>
      </c>
      <c r="N17" s="3">
        <f t="shared" si="0"/>
        <v>4.4000000000000004</v>
      </c>
    </row>
    <row r="18" spans="1:14" ht="22.5" customHeight="1" x14ac:dyDescent="0.25">
      <c r="A18" s="2"/>
      <c r="B18" s="3"/>
      <c r="C18" s="3">
        <f t="shared" ref="C18:H18" si="1">STDEV(C2:C16)</f>
        <v>1.1212238211627761</v>
      </c>
      <c r="D18" s="3">
        <f t="shared" si="1"/>
        <v>0.51639777949432331</v>
      </c>
      <c r="E18" s="3">
        <f t="shared" si="1"/>
        <v>0.96115010472325502</v>
      </c>
      <c r="F18" s="3">
        <f t="shared" si="1"/>
        <v>1.207121724244435</v>
      </c>
      <c r="G18" s="3">
        <f t="shared" si="1"/>
        <v>1.014185105674219</v>
      </c>
      <c r="H18" s="3">
        <f t="shared" si="1"/>
        <v>0.91025898983279929</v>
      </c>
      <c r="I18" s="3">
        <f t="shared" ref="I18:N18" si="2">STDEV(I2:I16)</f>
        <v>0.88371510168853695</v>
      </c>
      <c r="J18" s="3">
        <f t="shared" si="2"/>
        <v>1.1254628677422751</v>
      </c>
      <c r="K18" s="3">
        <f t="shared" si="2"/>
        <v>0.99043040187202458</v>
      </c>
      <c r="L18" s="3">
        <f t="shared" si="2"/>
        <v>1.207121724244435</v>
      </c>
      <c r="M18" s="3">
        <f t="shared" si="2"/>
        <v>0.81649658092772637</v>
      </c>
      <c r="N18" s="3">
        <f t="shared" si="2"/>
        <v>0.6324555320336771</v>
      </c>
    </row>
    <row r="20" spans="1:14" ht="13.2" x14ac:dyDescent="0.25">
      <c r="B20" s="4"/>
      <c r="C20" s="4" t="s">
        <v>27</v>
      </c>
      <c r="F20" s="4" t="s">
        <v>28</v>
      </c>
      <c r="G20" s="4" t="s">
        <v>29</v>
      </c>
      <c r="I20" s="4" t="s">
        <v>30</v>
      </c>
      <c r="K20" s="4"/>
      <c r="L20" s="4" t="s">
        <v>31</v>
      </c>
    </row>
    <row r="21" spans="1:14" ht="13.2" x14ac:dyDescent="0.25">
      <c r="B21" s="4" t="s">
        <v>32</v>
      </c>
      <c r="C21" s="5">
        <f>AVERAGE(C17:E17)</f>
        <v>3.9777777777777779</v>
      </c>
      <c r="F21" s="5">
        <v>2.65</v>
      </c>
      <c r="G21" s="5">
        <f>AVERAGE(F17,G17,H17)</f>
        <v>3.5333333333333332</v>
      </c>
      <c r="I21" s="5">
        <f>AVERAGE(I17:K17)</f>
        <v>3.7111111111111108</v>
      </c>
      <c r="L21" s="5">
        <f>AVERAGE(L17:N17)</f>
        <v>3.9555555555555557</v>
      </c>
    </row>
    <row r="22" spans="1:14" ht="13.2" x14ac:dyDescent="0.25">
      <c r="B22" s="4" t="s">
        <v>33</v>
      </c>
      <c r="C22" s="5" t="e">
        <f>AVERAGE(C21,G21,L21,#REF!)</f>
        <v>#REF!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37E8-26E3-46EA-BF28-D21FF7E13CAA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Form Responses 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Voss</dc:creator>
  <cp:lastModifiedBy>Laila Voss</cp:lastModifiedBy>
  <dcterms:created xsi:type="dcterms:W3CDTF">2026-08-16T14:37:09Z</dcterms:created>
  <dcterms:modified xsi:type="dcterms:W3CDTF">2026-08-16T14:39:07Z</dcterms:modified>
</cp:coreProperties>
</file>